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YATI PATEL\Downloads\"/>
    </mc:Choice>
  </mc:AlternateContent>
  <xr:revisionPtr revIDLastSave="0" documentId="13_ncr:1_{BC9736B3-B094-454B-8457-739C28E85F09}" xr6:coauthVersionLast="47" xr6:coauthVersionMax="47" xr10:uidLastSave="{00000000-0000-0000-0000-000000000000}"/>
  <bookViews>
    <workbookView xWindow="-108" yWindow="-108" windowWidth="23256" windowHeight="12456" activeTab="1" xr2:uid="{E550507C-708D-4EAB-9B26-2800780FFF8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Q2" i="2"/>
  <c r="P2" i="2" a="1"/>
  <c r="O2" i="2"/>
  <c r="N3" i="2" a="1"/>
  <c r="N4" i="2" a="1"/>
  <c r="N5" i="2" a="1"/>
  <c r="N6" i="2" a="1"/>
  <c r="N7" i="2" a="1"/>
  <c r="N8" i="2" a="1"/>
  <c r="N9" i="2" a="1"/>
  <c r="N10" i="2" a="1"/>
  <c r="N11" i="2" a="1"/>
  <c r="N12" i="2" a="1"/>
  <c r="N13" i="2" a="1"/>
  <c r="N14" i="2" a="1"/>
  <c r="N15" i="2" a="1"/>
  <c r="N16" i="2" a="1"/>
  <c r="N17" i="2" a="1"/>
  <c r="N18" i="2" a="1"/>
  <c r="N19" i="2" a="1"/>
  <c r="N20" i="2" a="1"/>
  <c r="N21" i="2" a="1"/>
  <c r="N2" i="2" a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2" i="1"/>
  <c r="L2" i="2"/>
  <c r="K2" i="2"/>
  <c r="J2" i="2"/>
  <c r="I2" i="2"/>
  <c r="I2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S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R3" i="2"/>
  <c r="R2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<sst xmlns="http://schemas.openxmlformats.org/spreadsheetml/2006/main" count="162" uniqueCount="93">
  <si>
    <t>Student ID</t>
  </si>
  <si>
    <t>Name</t>
  </si>
  <si>
    <t>Math</t>
  </si>
  <si>
    <t>Science</t>
  </si>
  <si>
    <t>English</t>
  </si>
  <si>
    <t>Enrollment Date</t>
  </si>
  <si>
    <t>GRADES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</si>
  <si>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</si>
  <si>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</si>
  <si>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</si>
  <si>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</si>
  <si>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</si>
  <si>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</si>
  <si>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</si>
  <si>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</si>
  <si>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Printer</t>
  </si>
  <si>
    <t>West</t>
  </si>
  <si>
    <t>Mouse</t>
  </si>
  <si>
    <t>East</t>
  </si>
  <si>
    <t>North</t>
  </si>
  <si>
    <t>Monitor</t>
  </si>
  <si>
    <t>Laptop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</si>
  <si>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</si>
  <si>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</si>
  <si>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</si>
  <si>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</si>
  <si>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</si>
  <si>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</si>
  <si>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</si>
  <si>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</si>
  <si>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</si>
  <si>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</si>
  <si>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</si>
  <si>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</si>
  <si>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</si>
  <si>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</si>
  <si>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</si>
  <si>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</si>
  <si>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</si>
  <si>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</si>
  <si>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</si>
  <si>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</si>
  <si>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</si>
  <si>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</si>
  <si>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</si>
  <si>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</si>
  <si>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</si>
  <si>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</si>
  <si>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</si>
  <si>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</si>
  <si>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DISCOUNT</t>
  </si>
  <si>
    <t>Students score above 80 in maths and science</t>
  </si>
  <si>
    <t>Eligiblility</t>
  </si>
  <si>
    <t>No.of.stds in maths above 50</t>
  </si>
  <si>
    <t>south</t>
  </si>
  <si>
    <t>north</t>
  </si>
  <si>
    <t>west</t>
  </si>
  <si>
    <t>east</t>
  </si>
  <si>
    <t>average of stds score above 60</t>
  </si>
  <si>
    <t>stds name</t>
  </si>
  <si>
    <t>KRISHNA</t>
  </si>
  <si>
    <t xml:space="preserve"> SURESH RANA</t>
  </si>
  <si>
    <t>RAMESH SHRAMA</t>
  </si>
  <si>
    <t>RHOIT PATEL</t>
  </si>
  <si>
    <t>MOHIT GOTI</t>
  </si>
  <si>
    <t>VIRAT KHOLI</t>
  </si>
  <si>
    <t>AYUSH JOSHI</t>
  </si>
  <si>
    <t>YOGESH RAWAT</t>
  </si>
  <si>
    <t>SUNITA AHUJA</t>
  </si>
  <si>
    <t xml:space="preserve"> SEEMA RNAN</t>
  </si>
  <si>
    <t>REEMA PUROHIT</t>
  </si>
  <si>
    <t>PANJAK YADAV</t>
  </si>
  <si>
    <t>SEJAL SUKAN</t>
  </si>
  <si>
    <t>RAMA PATIL</t>
  </si>
  <si>
    <t>SUJATA PATEL</t>
  </si>
  <si>
    <t>RUMKAMNI SHAH</t>
  </si>
  <si>
    <t>RADHA PATEL</t>
  </si>
  <si>
    <t>JAMNA AHUJA</t>
  </si>
  <si>
    <t>KALKI PATIL</t>
  </si>
  <si>
    <t>1001+24:24B22:21</t>
  </si>
  <si>
    <t>EXTRACT</t>
  </si>
  <si>
    <t>LOWER</t>
  </si>
  <si>
    <t>PRIYA PATIL</t>
  </si>
  <si>
    <t>UPPER</t>
  </si>
  <si>
    <t>xlookup</t>
  </si>
  <si>
    <t>xmatch</t>
  </si>
  <si>
    <t>INDIRECT</t>
  </si>
  <si>
    <t>OFFSET</t>
  </si>
  <si>
    <t>BOD</t>
  </si>
  <si>
    <t>DIFFERENCE</t>
  </si>
  <si>
    <t>ROUND</t>
  </si>
  <si>
    <t>CEILING</t>
  </si>
  <si>
    <t>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</si>
</sst>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b/>
      <i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8" fillId="0" borderId="2" xfId="0" applyFont="1" applyBorder="1"/>
    <xf numFmtId="0" fontId="8" fillId="0" borderId="5" xfId="0" applyFont="1" applyBorder="1"/>
    <xf numFmtId="14" fontId="8" fillId="0" borderId="2" xfId="0" applyNumberFormat="1" applyFont="1" applyBorder="1"/>
    <xf numFmtId="0" fontId="9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9BB2-F80A-429C-8194-68FE61DD7255}">
  <dimension ref="A1:XI21"/>
  <sheetViews>
    <sheetView zoomScale="69" zoomScaleNormal="69" workbookViewId="0">
      <selection activeCell="Q4" sqref="Q4"/>
    </sheetView>
  </sheetViews>
  <sheetFormatPr defaultRowHeight="14.4" x14ac:dyDescent="0.3"/>
  <cols>
    <col min="1" max="6" width="13.21875" style="11" customWidth="1"/>
    <col min="7" max="7" width="13.21875" style="1" customWidth="1"/>
    <col min="8" max="8" width="13.21875" style="11" customWidth="1"/>
    <col min="9" max="9" width="12.5546875" customWidth="1"/>
    <col min="11" max="11" width="16.109375" customWidth="1"/>
    <col min="12" max="12" width="13.109375" customWidth="1"/>
    <col min="13" max="13" width="13.44140625" customWidth="1"/>
    <col min="14" max="14" width="17" customWidth="1"/>
  </cols>
  <sheetData>
    <row r="1" spans="1:633" ht="57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5" t="s">
        <v>51</v>
      </c>
      <c r="I1" s="5" t="s">
        <v>53</v>
      </c>
      <c r="J1" s="5" t="s">
        <v>58</v>
      </c>
      <c r="K1" s="5" t="s">
        <v>59</v>
      </c>
      <c r="L1" s="5" t="s">
        <v>80</v>
      </c>
      <c r="M1" s="5" t="s">
        <v>81</v>
      </c>
      <c r="N1" s="5" t="s">
        <v>83</v>
      </c>
    </row>
    <row r="2" spans="1:633" s="4" customFormat="1" ht="48" customHeight="1" x14ac:dyDescent="0.3">
      <c r="A2" s="7" t="s">
        <v>79</v>
      </c>
      <c r="B2" s="7" t="s">
        <v>82</v>
      </c>
      <c r="C2" s="7">
        <v>61</v>
      </c>
      <c r="D2" s="7">
        <v>48</v>
      </c>
      <c r="E2" s="7">
        <v>76</v>
      </c>
      <c r="F2" s="8">
        <v>43101</v>
      </c>
      <c r="G2" s="3" t="str">
        <f>IF(C2&gt;90,"A",IF(C2&gt;80,"B",IF(C2&gt;75,"C",IF(C2&gt;60,"D",IF(C2&gt;45,"E","F")))))</f>
        <v>D</v>
      </c>
      <c r="H2" s="6" t="str">
        <f>IF(AND(C2&gt;80,D2&gt;80),"found","not found")</f>
        <v>not found</v>
      </c>
      <c r="I2" s="4">
        <f>COUNTIF(C2:C21,"&gt;50")</f>
        <v>19</v>
      </c>
      <c r="J2" s="4">
        <f>AVERAGEIF(C2:E21,"&gt;60")</f>
        <v>79.924999999999997</v>
      </c>
      <c r="K2" s="4" t="str">
        <f>VLOOKUP(A2,A2:F21,2,FALSE)</f>
        <v>PRIYA PATIL</v>
      </c>
      <c r="L2" s="4" t="str">
        <f>LEFT(B2,FIND(" ",B2)-1)</f>
        <v>PRIYA</v>
      </c>
      <c r="M2" s="4" t="str">
        <f>LOWER(B2)</f>
        <v>priya patil</v>
      </c>
      <c r="N2" s="4" t="str">
        <f>UPPER(B2)</f>
        <v>PRIYA PATIL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</row>
    <row r="3" spans="1:633" s="4" customFormat="1" ht="48" customHeight="1" x14ac:dyDescent="0.3">
      <c r="A3" s="7">
        <v>1002</v>
      </c>
      <c r="B3" s="7" t="s">
        <v>61</v>
      </c>
      <c r="C3" s="7">
        <v>78</v>
      </c>
      <c r="D3" s="7">
        <v>76</v>
      </c>
      <c r="E3" s="7">
        <v>70</v>
      </c>
      <c r="F3" s="8">
        <v>43281</v>
      </c>
      <c r="G3" s="3" t="str">
        <f t="shared" ref="G3:G21" si="0">IF(C3&gt;90,"A",IF(C3&gt;80,"B",IF(C3&gt;75,"C",IF(C3&gt;60,"D",IF(C3&gt;45,"E","F")))))</f>
        <v>C</v>
      </c>
      <c r="H3" s="6" t="str">
        <f t="shared" ref="H3:H21" si="1">IF(AND(C3&gt;80,D3&gt;80),"found","not found")</f>
        <v>not found</v>
      </c>
      <c r="K3" s="4" t="str">
        <f t="shared" ref="K3:K21" si="2">VLOOKUP(A3,A3:F22,2,FALSE)</f>
        <v xml:space="preserve"> SURESH RANA</v>
      </c>
      <c r="L3" s="4" t="str">
        <f t="shared" ref="L3:L21" si="3">LEFT(B3,FIND(" ",B3)-1)</f>
        <v/>
      </c>
      <c r="M3" s="4" t="str">
        <f t="shared" ref="M3:M21" si="4">LOWER(B3)</f>
        <v xml:space="preserve"> suresh rana</v>
      </c>
      <c r="N3" s="4" t="str">
        <f t="shared" ref="N3:N21" si="5">UPPER(B3)</f>
        <v xml:space="preserve"> SURESH RANA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</row>
    <row r="4" spans="1:633" s="4" customFormat="1" ht="48" customHeight="1" x14ac:dyDescent="0.3">
      <c r="A4" s="7">
        <v>1003</v>
      </c>
      <c r="B4" s="7" t="s">
        <v>62</v>
      </c>
      <c r="C4" s="7">
        <v>97</v>
      </c>
      <c r="D4" s="7">
        <v>60</v>
      </c>
      <c r="E4" s="7">
        <v>51</v>
      </c>
      <c r="F4" s="8">
        <v>43461</v>
      </c>
      <c r="G4" s="3" t="str">
        <f t="shared" si="0"/>
        <v>A</v>
      </c>
      <c r="H4" s="6" t="str">
        <f t="shared" si="1"/>
        <v>not found</v>
      </c>
      <c r="K4" s="4" t="str">
        <f t="shared" si="2"/>
        <v>RAMESH SHRAMA</v>
      </c>
      <c r="L4" s="4" t="str">
        <f t="shared" si="3"/>
        <v>RAMESH</v>
      </c>
      <c r="M4" s="4" t="str">
        <f t="shared" si="4"/>
        <v>ramesh shrama</v>
      </c>
      <c r="N4" s="4" t="str">
        <f t="shared" si="5"/>
        <v>RAMESH SHRAMA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</row>
    <row r="5" spans="1:633" s="4" customFormat="1" ht="48" customHeight="1" x14ac:dyDescent="0.3">
      <c r="A5" s="7">
        <v>1004</v>
      </c>
      <c r="B5" s="7" t="s">
        <v>63</v>
      </c>
      <c r="C5" s="7">
        <v>74</v>
      </c>
      <c r="D5" s="7">
        <v>55</v>
      </c>
      <c r="E5" s="7">
        <v>46</v>
      </c>
      <c r="F5" s="8">
        <v>43641</v>
      </c>
      <c r="G5" s="3" t="str">
        <f t="shared" si="0"/>
        <v>D</v>
      </c>
      <c r="H5" s="6" t="str">
        <f t="shared" si="1"/>
        <v>not found</v>
      </c>
      <c r="K5" s="4" t="str">
        <f t="shared" si="2"/>
        <v>RHOIT PATEL</v>
      </c>
      <c r="L5" s="4" t="str">
        <f t="shared" si="3"/>
        <v>RHOIT</v>
      </c>
      <c r="M5" s="4" t="str">
        <f t="shared" si="4"/>
        <v>rhoit patel</v>
      </c>
      <c r="N5" s="4" t="str">
        <f t="shared" si="5"/>
        <v>RHOIT PATEL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</row>
    <row r="6" spans="1:633" s="4" customFormat="1" ht="48" customHeight="1" x14ac:dyDescent="0.3">
      <c r="A6" s="7">
        <v>1005</v>
      </c>
      <c r="B6" s="7" t="s">
        <v>64</v>
      </c>
      <c r="C6" s="7">
        <v>68</v>
      </c>
      <c r="D6" s="7">
        <v>74</v>
      </c>
      <c r="E6" s="7">
        <v>84</v>
      </c>
      <c r="F6" s="8">
        <v>43821</v>
      </c>
      <c r="G6" s="3" t="str">
        <f t="shared" si="0"/>
        <v>D</v>
      </c>
      <c r="H6" s="6" t="str">
        <f t="shared" si="1"/>
        <v>not found</v>
      </c>
      <c r="K6" s="4" t="str">
        <f t="shared" si="2"/>
        <v>MOHIT GOTI</v>
      </c>
      <c r="L6" s="4" t="str">
        <f t="shared" si="3"/>
        <v>MOHIT</v>
      </c>
      <c r="M6" s="4" t="str">
        <f t="shared" si="4"/>
        <v>mohit goti</v>
      </c>
      <c r="N6" s="4" t="str">
        <f t="shared" si="5"/>
        <v>MOHIT GOTI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</row>
    <row r="7" spans="1:633" s="4" customFormat="1" ht="48" customHeight="1" x14ac:dyDescent="0.3">
      <c r="A7" s="7">
        <v>1006</v>
      </c>
      <c r="B7" s="7" t="s">
        <v>65</v>
      </c>
      <c r="C7" s="7">
        <v>80</v>
      </c>
      <c r="D7" s="7">
        <v>70</v>
      </c>
      <c r="E7" s="7">
        <v>65</v>
      </c>
      <c r="F7" s="8">
        <v>44001</v>
      </c>
      <c r="G7" s="3" t="str">
        <f t="shared" si="0"/>
        <v>C</v>
      </c>
      <c r="H7" s="6" t="str">
        <f t="shared" si="1"/>
        <v>not found</v>
      </c>
      <c r="K7" s="4" t="str">
        <f t="shared" si="2"/>
        <v>VIRAT KHOLI</v>
      </c>
      <c r="L7" s="4" t="str">
        <f t="shared" si="3"/>
        <v>VIRAT</v>
      </c>
      <c r="M7" s="4" t="str">
        <f t="shared" si="4"/>
        <v>virat kholi</v>
      </c>
      <c r="N7" s="4" t="str">
        <f t="shared" si="5"/>
        <v>VIRAT KHOLI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</row>
    <row r="8" spans="1:633" s="4" customFormat="1" ht="48" customHeight="1" x14ac:dyDescent="0.3">
      <c r="A8" s="7">
        <v>1007</v>
      </c>
      <c r="B8" s="7" t="s">
        <v>66</v>
      </c>
      <c r="C8" s="7">
        <v>75</v>
      </c>
      <c r="D8" s="7">
        <v>47</v>
      </c>
      <c r="E8" s="7">
        <v>78</v>
      </c>
      <c r="F8" s="8">
        <v>44181</v>
      </c>
      <c r="G8" s="3" t="str">
        <f t="shared" si="0"/>
        <v>D</v>
      </c>
      <c r="H8" s="6" t="str">
        <f t="shared" si="1"/>
        <v>not found</v>
      </c>
      <c r="K8" s="4" t="str">
        <f t="shared" si="2"/>
        <v>AYUSH JOSHI</v>
      </c>
      <c r="L8" s="4" t="str">
        <f t="shared" si="3"/>
        <v>AYUSH</v>
      </c>
      <c r="M8" s="4" t="str">
        <f t="shared" si="4"/>
        <v>ayush joshi</v>
      </c>
      <c r="N8" s="4" t="str">
        <f t="shared" si="5"/>
        <v>AYUSH JOSHI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</row>
    <row r="9" spans="1:633" s="4" customFormat="1" ht="48" customHeight="1" x14ac:dyDescent="0.3">
      <c r="A9" s="7">
        <v>1008</v>
      </c>
      <c r="B9" s="7" t="s">
        <v>67</v>
      </c>
      <c r="C9" s="7">
        <v>94</v>
      </c>
      <c r="D9" s="7">
        <v>67</v>
      </c>
      <c r="E9" s="7">
        <v>64</v>
      </c>
      <c r="F9" s="8">
        <v>44361</v>
      </c>
      <c r="G9" s="3" t="str">
        <f t="shared" si="0"/>
        <v>A</v>
      </c>
      <c r="H9" s="6" t="str">
        <f t="shared" si="1"/>
        <v>not found</v>
      </c>
      <c r="K9" s="4" t="str">
        <f t="shared" si="2"/>
        <v>YOGESH RAWAT</v>
      </c>
      <c r="L9" s="4" t="str">
        <f t="shared" si="3"/>
        <v>YOGESH</v>
      </c>
      <c r="M9" s="4" t="str">
        <f t="shared" si="4"/>
        <v>yogesh rawat</v>
      </c>
      <c r="N9" s="4" t="str">
        <f t="shared" si="5"/>
        <v>YOGESH RAWAT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</row>
    <row r="10" spans="1:633" s="4" customFormat="1" ht="48" customHeight="1" x14ac:dyDescent="0.3">
      <c r="A10" s="7">
        <v>1009</v>
      </c>
      <c r="B10" s="7" t="s">
        <v>68</v>
      </c>
      <c r="C10" s="7">
        <v>41</v>
      </c>
      <c r="D10" s="7">
        <v>75</v>
      </c>
      <c r="E10" s="7">
        <v>56</v>
      </c>
      <c r="F10" s="8">
        <v>44541</v>
      </c>
      <c r="G10" s="3" t="str">
        <f t="shared" si="0"/>
        <v>F</v>
      </c>
      <c r="H10" s="6" t="str">
        <f t="shared" si="1"/>
        <v>not found</v>
      </c>
      <c r="K10" s="4" t="str">
        <f t="shared" si="2"/>
        <v>SUNITA AHUJA</v>
      </c>
      <c r="L10" s="4" t="str">
        <f t="shared" si="3"/>
        <v>SUNITA</v>
      </c>
      <c r="M10" s="4" t="str">
        <f t="shared" si="4"/>
        <v>sunita ahuja</v>
      </c>
      <c r="N10" s="4" t="str">
        <f t="shared" si="5"/>
        <v>SUNITA AHUJA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</row>
    <row r="11" spans="1:633" s="4" customFormat="1" ht="48" customHeight="1" x14ac:dyDescent="0.3">
      <c r="A11" s="7">
        <v>1010</v>
      </c>
      <c r="B11" s="7" t="s">
        <v>69</v>
      </c>
      <c r="C11" s="7">
        <v>98</v>
      </c>
      <c r="D11" s="7">
        <v>54</v>
      </c>
      <c r="E11" s="7">
        <v>58</v>
      </c>
      <c r="F11" s="8">
        <v>44721</v>
      </c>
      <c r="G11" s="3" t="str">
        <f t="shared" si="0"/>
        <v>A</v>
      </c>
      <c r="H11" s="6" t="str">
        <f t="shared" si="1"/>
        <v>not found</v>
      </c>
      <c r="K11" s="4" t="str">
        <f t="shared" si="2"/>
        <v xml:space="preserve"> SEEMA RNAN</v>
      </c>
      <c r="L11" s="4" t="str">
        <f t="shared" si="3"/>
        <v/>
      </c>
      <c r="M11" s="4" t="str">
        <f t="shared" si="4"/>
        <v xml:space="preserve"> seema rnan</v>
      </c>
      <c r="N11" s="4" t="str">
        <f t="shared" si="5"/>
        <v xml:space="preserve"> SEEMA RNAN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</row>
    <row r="12" spans="1:633" s="4" customFormat="1" ht="48" customHeight="1" x14ac:dyDescent="0.3">
      <c r="A12" s="7">
        <v>1011</v>
      </c>
      <c r="B12" s="7" t="s">
        <v>70</v>
      </c>
      <c r="C12" s="7">
        <v>73</v>
      </c>
      <c r="D12" s="7">
        <v>79</v>
      </c>
      <c r="E12" s="7">
        <v>53</v>
      </c>
      <c r="F12" s="8">
        <v>44901</v>
      </c>
      <c r="G12" s="3" t="str">
        <f t="shared" si="0"/>
        <v>D</v>
      </c>
      <c r="H12" s="6" t="str">
        <f t="shared" si="1"/>
        <v>not found</v>
      </c>
      <c r="K12" s="4" t="str">
        <f t="shared" si="2"/>
        <v>REEMA PUROHIT</v>
      </c>
      <c r="L12" s="4" t="str">
        <f t="shared" si="3"/>
        <v>REEMA</v>
      </c>
      <c r="M12" s="4" t="str">
        <f t="shared" si="4"/>
        <v>reema purohit</v>
      </c>
      <c r="N12" s="4" t="str">
        <f t="shared" si="5"/>
        <v>REEMA PUROHIT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</row>
    <row r="13" spans="1:633" s="4" customFormat="1" ht="48" customHeight="1" x14ac:dyDescent="0.3">
      <c r="A13" s="7">
        <v>1012</v>
      </c>
      <c r="B13" s="7" t="s">
        <v>72</v>
      </c>
      <c r="C13" s="7">
        <v>85</v>
      </c>
      <c r="D13" s="7">
        <v>89</v>
      </c>
      <c r="E13" s="7">
        <v>79</v>
      </c>
      <c r="F13" s="8">
        <v>45081</v>
      </c>
      <c r="G13" s="3" t="str">
        <f t="shared" si="0"/>
        <v>B</v>
      </c>
      <c r="H13" s="6" t="str">
        <f t="shared" si="1"/>
        <v>found</v>
      </c>
      <c r="K13" s="4" t="str">
        <f t="shared" si="2"/>
        <v>SEJAL SUKAN</v>
      </c>
      <c r="L13" s="4" t="str">
        <f t="shared" si="3"/>
        <v>SEJAL</v>
      </c>
      <c r="M13" s="4" t="str">
        <f t="shared" si="4"/>
        <v>sejal sukan</v>
      </c>
      <c r="N13" s="4" t="str">
        <f t="shared" si="5"/>
        <v>SEJAL SUKAN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</row>
    <row r="14" spans="1:633" s="4" customFormat="1" ht="48" customHeight="1" x14ac:dyDescent="0.3">
      <c r="A14" s="7">
        <v>1013</v>
      </c>
      <c r="B14" s="7" t="s">
        <v>71</v>
      </c>
      <c r="C14" s="7">
        <v>98</v>
      </c>
      <c r="D14" s="7">
        <v>90</v>
      </c>
      <c r="E14" s="7">
        <v>97</v>
      </c>
      <c r="F14" s="8">
        <v>45261</v>
      </c>
      <c r="G14" s="3" t="str">
        <f t="shared" si="0"/>
        <v>A</v>
      </c>
      <c r="H14" s="6" t="str">
        <f t="shared" si="1"/>
        <v>found</v>
      </c>
      <c r="K14" s="4" t="str">
        <f t="shared" si="2"/>
        <v>PANJAK YADAV</v>
      </c>
      <c r="L14" s="4" t="str">
        <f t="shared" si="3"/>
        <v>PANJAK</v>
      </c>
      <c r="M14" s="4" t="str">
        <f t="shared" si="4"/>
        <v>panjak yadav</v>
      </c>
      <c r="N14" s="4" t="str">
        <f t="shared" si="5"/>
        <v>PANJAK YADAV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</row>
    <row r="15" spans="1:633" s="4" customFormat="1" ht="48" customHeight="1" x14ac:dyDescent="0.3">
      <c r="A15" s="7">
        <v>1014</v>
      </c>
      <c r="B15" s="7" t="s">
        <v>73</v>
      </c>
      <c r="C15" s="7">
        <v>93</v>
      </c>
      <c r="D15" s="7">
        <v>40</v>
      </c>
      <c r="E15" s="7">
        <v>44</v>
      </c>
      <c r="F15" s="8">
        <v>45441</v>
      </c>
      <c r="G15" s="3" t="str">
        <f t="shared" si="0"/>
        <v>A</v>
      </c>
      <c r="H15" s="6" t="str">
        <f t="shared" si="1"/>
        <v>not found</v>
      </c>
      <c r="K15" s="4" t="str">
        <f t="shared" si="2"/>
        <v>RAMA PATIL</v>
      </c>
      <c r="L15" s="4" t="str">
        <f t="shared" si="3"/>
        <v>RAMA</v>
      </c>
      <c r="M15" s="4" t="str">
        <f t="shared" si="4"/>
        <v>rama patil</v>
      </c>
      <c r="N15" s="4" t="str">
        <f t="shared" si="5"/>
        <v>RAMA PATIL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</row>
    <row r="16" spans="1:633" s="4" customFormat="1" ht="48" customHeight="1" x14ac:dyDescent="0.3">
      <c r="A16" s="7">
        <v>1015</v>
      </c>
      <c r="B16" s="7" t="s">
        <v>74</v>
      </c>
      <c r="C16" s="7">
        <v>70</v>
      </c>
      <c r="D16" s="7">
        <v>51</v>
      </c>
      <c r="E16" s="7">
        <v>75</v>
      </c>
      <c r="F16" s="8">
        <v>45621</v>
      </c>
      <c r="G16" s="3" t="str">
        <f t="shared" si="0"/>
        <v>D</v>
      </c>
      <c r="H16" s="6" t="str">
        <f t="shared" si="1"/>
        <v>not found</v>
      </c>
      <c r="K16" s="4" t="str">
        <f t="shared" si="2"/>
        <v>SUJATA PATEL</v>
      </c>
      <c r="L16" s="4" t="str">
        <f t="shared" si="3"/>
        <v>SUJATA</v>
      </c>
      <c r="M16" s="4" t="str">
        <f t="shared" si="4"/>
        <v>sujata patel</v>
      </c>
      <c r="N16" s="4" t="str">
        <f t="shared" si="5"/>
        <v>SUJATA PATEL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</row>
    <row r="17" spans="1:633" s="4" customFormat="1" ht="48" customHeight="1" x14ac:dyDescent="0.3">
      <c r="A17" s="7">
        <v>1016</v>
      </c>
      <c r="B17" s="7" t="s">
        <v>75</v>
      </c>
      <c r="C17" s="7">
        <v>98</v>
      </c>
      <c r="D17" s="7">
        <v>77</v>
      </c>
      <c r="E17" s="7">
        <v>60</v>
      </c>
      <c r="F17" s="8">
        <v>45801</v>
      </c>
      <c r="G17" s="3" t="str">
        <f t="shared" si="0"/>
        <v>A</v>
      </c>
      <c r="H17" s="6" t="str">
        <f t="shared" si="1"/>
        <v>not found</v>
      </c>
      <c r="K17" s="4" t="str">
        <f t="shared" si="2"/>
        <v>RUMKAMNI SHAH</v>
      </c>
      <c r="L17" s="4" t="str">
        <f t="shared" si="3"/>
        <v>RUMKAMNI</v>
      </c>
      <c r="M17" s="4" t="str">
        <f t="shared" si="4"/>
        <v>rumkamni shah</v>
      </c>
      <c r="N17" s="4" t="str">
        <f t="shared" si="5"/>
        <v>RUMKAMNI SHAH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</row>
    <row r="18" spans="1:633" s="4" customFormat="1" ht="48" customHeight="1" x14ac:dyDescent="0.3">
      <c r="A18" s="7">
        <v>1017</v>
      </c>
      <c r="B18" s="7" t="s">
        <v>60</v>
      </c>
      <c r="C18" s="7">
        <v>66</v>
      </c>
      <c r="D18" s="7">
        <v>59</v>
      </c>
      <c r="E18" s="7">
        <v>40</v>
      </c>
      <c r="F18" s="8">
        <v>45981</v>
      </c>
      <c r="G18" s="3" t="str">
        <f t="shared" si="0"/>
        <v>D</v>
      </c>
      <c r="H18" s="6" t="str">
        <f t="shared" si="1"/>
        <v>not found</v>
      </c>
      <c r="K18" s="4" t="str">
        <f t="shared" si="2"/>
        <v>KRISHNA</v>
      </c>
      <c r="L18" s="4" t="e">
        <f t="shared" si="3"/>
        <v>#VALUE!</v>
      </c>
      <c r="M18" s="4" t="str">
        <f t="shared" si="4"/>
        <v>krishna</v>
      </c>
      <c r="N18" s="4" t="str">
        <f t="shared" si="5"/>
        <v>KRISHNA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</row>
    <row r="19" spans="1:633" s="4" customFormat="1" ht="48" customHeight="1" x14ac:dyDescent="0.3">
      <c r="A19" s="7">
        <v>1018</v>
      </c>
      <c r="B19" s="7" t="s">
        <v>76</v>
      </c>
      <c r="C19" s="7">
        <v>82</v>
      </c>
      <c r="D19" s="7">
        <v>48</v>
      </c>
      <c r="E19" s="7">
        <v>79</v>
      </c>
      <c r="F19" s="8">
        <v>46161</v>
      </c>
      <c r="G19" s="3" t="str">
        <f t="shared" si="0"/>
        <v>B</v>
      </c>
      <c r="H19" s="6" t="str">
        <f t="shared" si="1"/>
        <v>not found</v>
      </c>
      <c r="K19" s="4" t="str">
        <f t="shared" si="2"/>
        <v>RADHA PATEL</v>
      </c>
      <c r="L19" s="4" t="str">
        <f t="shared" si="3"/>
        <v>RADHA</v>
      </c>
      <c r="M19" s="4" t="str">
        <f t="shared" si="4"/>
        <v>radha patel</v>
      </c>
      <c r="N19" s="4" t="str">
        <f t="shared" si="5"/>
        <v>RADHA PATEL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</row>
    <row r="20" spans="1:633" s="4" customFormat="1" ht="48" customHeight="1" x14ac:dyDescent="0.3">
      <c r="A20" s="7">
        <v>1019</v>
      </c>
      <c r="B20" s="7" t="s">
        <v>77</v>
      </c>
      <c r="C20" s="7">
        <v>90</v>
      </c>
      <c r="D20" s="7">
        <v>78</v>
      </c>
      <c r="E20" s="7">
        <v>60</v>
      </c>
      <c r="F20" s="8">
        <v>46341</v>
      </c>
      <c r="G20" s="3" t="str">
        <f t="shared" si="0"/>
        <v>B</v>
      </c>
      <c r="H20" s="6" t="str">
        <f t="shared" si="1"/>
        <v>not found</v>
      </c>
      <c r="K20" s="4" t="str">
        <f t="shared" si="2"/>
        <v>JAMNA AHUJA</v>
      </c>
      <c r="L20" s="4" t="str">
        <f t="shared" si="3"/>
        <v>JAMNA</v>
      </c>
      <c r="M20" s="4" t="str">
        <f t="shared" si="4"/>
        <v>jamna ahuja</v>
      </c>
      <c r="N20" s="4" t="str">
        <f t="shared" si="5"/>
        <v>JAMNA AHUJA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</row>
    <row r="21" spans="1:633" s="4" customFormat="1" ht="48" customHeight="1" x14ac:dyDescent="0.3">
      <c r="A21" s="7">
        <v>1020</v>
      </c>
      <c r="B21" s="7" t="s">
        <v>78</v>
      </c>
      <c r="C21" s="7">
        <v>83</v>
      </c>
      <c r="D21" s="7">
        <v>92</v>
      </c>
      <c r="E21" s="7">
        <v>55</v>
      </c>
      <c r="F21" s="8">
        <v>46521</v>
      </c>
      <c r="G21" s="3" t="str">
        <f t="shared" si="0"/>
        <v>B</v>
      </c>
      <c r="H21" s="6" t="str">
        <f t="shared" si="1"/>
        <v>found</v>
      </c>
      <c r="K21" s="4" t="str">
        <f t="shared" si="2"/>
        <v>KALKI PATIL</v>
      </c>
      <c r="L21" s="4" t="str">
        <f t="shared" si="3"/>
        <v>KALKI</v>
      </c>
      <c r="M21" s="4" t="str">
        <f t="shared" si="4"/>
        <v>kalki patil</v>
      </c>
      <c r="N21" s="4" t="str">
        <f t="shared" si="5"/>
        <v>KALKI PATIL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A8B8-7CE9-4C9D-AD7F-4AD2E28CB7BA}">
  <dimension ref="A1:S21"/>
  <sheetViews>
    <sheetView tabSelected="1" zoomScale="71" zoomScaleNormal="71" workbookViewId="0">
      <selection activeCell="AA1" sqref="AA1"/>
    </sheetView>
  </sheetViews>
  <sheetFormatPr defaultRowHeight="14.4" x14ac:dyDescent="0.3"/>
  <cols>
    <col min="1" max="3" width="13" customWidth="1"/>
    <col min="4" max="4" width="16.33203125" customWidth="1"/>
    <col min="5" max="5" width="13" customWidth="1"/>
    <col min="6" max="6" width="18.6640625" customWidth="1"/>
    <col min="7" max="8" width="13" customWidth="1"/>
    <col min="9" max="9" width="9" bestFit="1" customWidth="1"/>
    <col min="10" max="10" width="9.77734375" bestFit="1" customWidth="1"/>
    <col min="11" max="11" width="14.21875" bestFit="1" customWidth="1"/>
    <col min="12" max="12" width="9.77734375" bestFit="1" customWidth="1"/>
    <col min="13" max="15" width="9" bestFit="1" customWidth="1"/>
    <col min="17" max="17" width="11.88671875" customWidth="1"/>
    <col min="18" max="18" width="14.21875" bestFit="1" customWidth="1"/>
    <col min="19" max="19" width="9" bestFit="1" customWidth="1"/>
  </cols>
  <sheetData>
    <row r="1" spans="1:19" ht="60" customHeight="1" x14ac:dyDescent="0.3">
      <c r="A1" s="12" t="s">
        <v>7</v>
      </c>
      <c r="B1" s="13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14" t="s">
        <v>50</v>
      </c>
      <c r="H1" s="14" t="s">
        <v>52</v>
      </c>
      <c r="I1" s="14" t="s">
        <v>54</v>
      </c>
      <c r="J1" s="14" t="s">
        <v>55</v>
      </c>
      <c r="K1" s="14" t="s">
        <v>56</v>
      </c>
      <c r="L1" s="15" t="s">
        <v>57</v>
      </c>
      <c r="M1" s="16" t="s">
        <v>84</v>
      </c>
      <c r="N1" s="16" t="s">
        <v>84</v>
      </c>
      <c r="O1" s="16" t="s">
        <v>85</v>
      </c>
      <c r="P1" s="16" t="s">
        <v>86</v>
      </c>
      <c r="Q1" s="16" t="s">
        <v>87</v>
      </c>
      <c r="R1" s="16" t="s">
        <v>88</v>
      </c>
      <c r="S1" s="16" t="s">
        <v>89</v>
      </c>
    </row>
    <row r="2" spans="1:19" ht="60" customHeight="1" x14ac:dyDescent="0.35">
      <c r="A2" s="17">
        <v>2001</v>
      </c>
      <c r="B2" s="17" t="s">
        <v>13</v>
      </c>
      <c r="C2" s="17" t="s">
        <v>14</v>
      </c>
      <c r="D2" s="17" t="s">
        <v>82</v>
      </c>
      <c r="E2" s="17">
        <v>7048</v>
      </c>
      <c r="F2" s="18">
        <v>44927</v>
      </c>
      <c r="G2" s="19" t="str">
        <f>IF(E2&gt;45000,"25%",IF(E2&lt;35000,"20%",IF(E2&gt;25000,"15%",IF(E2&gt;15000,"10%",IF(E2&gt;10000,"5%","0%")))))</f>
        <v>20%</v>
      </c>
      <c r="H2" s="19" t="str">
        <f>IF(OR(G2&lt;10,G2&gt;15),"eligible","not eligible")</f>
        <v>eligible</v>
      </c>
      <c r="I2" s="20">
        <f>SUMIFS(E2:E21,C2:C21,"south")</f>
        <v>73188</v>
      </c>
      <c r="J2" s="20">
        <f>SUMIFS(E2:E21,C2:C21,"north")</f>
        <v>140627</v>
      </c>
      <c r="K2" s="20">
        <f>SUMIFS(E2:E21,C2:C21,"west")</f>
        <v>119978</v>
      </c>
      <c r="L2" s="21">
        <f>SUMIFS(E2:E21,C2:C21,"east")</f>
        <v>173932</v>
      </c>
      <c r="M2" s="20">
        <f>_xlfn.XLOOKUP(A2,A2:A21,E2:E21,"not found")</f>
        <v>7048</v>
      </c>
      <c r="N2" s="20" t="b" cm="1">
        <f t="array" ref="N2">_xlfn.XLOOKUP(D2,D2:D21,E2:E21&gt;10000,"-")</f>
        <v>0</v>
      </c>
      <c r="O2" s="20">
        <f>_xlfn.XMATCH("laptop",B2:B21)</f>
        <v>13</v>
      </c>
      <c r="P2" s="20" t="str" cm="1">
        <f t="array" aca="1" ref="P2" ca="1">INDIRECT("C3",TRUE)</f>
        <v>West</v>
      </c>
      <c r="Q2" s="20" t="str">
        <f ca="1">OFFSET(B3,4,2)</f>
        <v>VIRAT KHOLI</v>
      </c>
      <c r="R2" s="22">
        <f ca="1">DATEDIF(F2,$K$5,"Y")</f>
        <v>3</v>
      </c>
      <c r="S2" s="20">
        <f ca="1">_xlfn.DAYS($K$5,F2)</f>
        <v>1368</v>
      </c>
    </row>
    <row r="3" spans="1:19" ht="60" customHeight="1" x14ac:dyDescent="0.35">
      <c r="A3" s="17">
        <v>2002</v>
      </c>
      <c r="B3" s="17" t="s">
        <v>15</v>
      </c>
      <c r="C3" s="17" t="s">
        <v>16</v>
      </c>
      <c r="D3" s="17" t="s">
        <v>61</v>
      </c>
      <c r="E3" s="17">
        <v>17428</v>
      </c>
      <c r="F3" s="18">
        <v>44942</v>
      </c>
      <c r="G3" s="19" t="str">
        <f t="shared" ref="G3:G21" si="0">IF(E3&gt;45000,"25%",IF(E3&lt;35000,"20%",IF(E3&gt;25000,"15%",IF(E3&gt;15000,"10%",IF(E3&gt;10000,"5%","0%")))))</f>
        <v>20%</v>
      </c>
      <c r="H3" s="19" t="str">
        <f t="shared" ref="H3:H21" si="1">IF(OR(G3&lt;15,G3&gt;20),"eligible","not eligible")</f>
        <v>eligible</v>
      </c>
      <c r="I3" s="23"/>
      <c r="J3" s="23"/>
      <c r="K3" s="23"/>
      <c r="L3" s="23"/>
      <c r="M3" s="20">
        <f t="shared" ref="M3:M21" si="2">_xlfn.XLOOKUP(A3,A3:A22,E3:E22,"not found")</f>
        <v>17428</v>
      </c>
      <c r="N3" s="20" t="b" cm="1">
        <f t="array" ref="N3">_xlfn.XLOOKUP(D3,D3:D22,E3:E22&gt;10000,"-")</f>
        <v>1</v>
      </c>
      <c r="O3" s="20"/>
      <c r="P3" s="20"/>
      <c r="Q3" s="20"/>
      <c r="R3" s="22">
        <f ca="1">DATEDIF(F3,$K$5,"Y")</f>
        <v>3</v>
      </c>
      <c r="S3" s="20">
        <f t="shared" ref="S3:S21" ca="1" si="3">_xlfn.DAYS($K$5,F3)</f>
        <v>1353</v>
      </c>
    </row>
    <row r="4" spans="1:19" ht="60" customHeight="1" x14ac:dyDescent="0.35">
      <c r="A4" s="17">
        <v>2003</v>
      </c>
      <c r="B4" s="17" t="s">
        <v>17</v>
      </c>
      <c r="C4" s="17" t="s">
        <v>14</v>
      </c>
      <c r="D4" s="17" t="s">
        <v>62</v>
      </c>
      <c r="E4" s="17">
        <v>23672</v>
      </c>
      <c r="F4" s="18">
        <v>44957</v>
      </c>
      <c r="G4" s="19" t="str">
        <f t="shared" si="0"/>
        <v>20%</v>
      </c>
      <c r="H4" s="19" t="str">
        <f t="shared" si="1"/>
        <v>eligible</v>
      </c>
      <c r="I4" s="23"/>
      <c r="J4" s="23"/>
      <c r="K4" s="23"/>
      <c r="L4" s="23"/>
      <c r="M4" s="20">
        <f t="shared" si="2"/>
        <v>23672</v>
      </c>
      <c r="N4" s="20" t="b" cm="1">
        <f t="array" ref="N4">_xlfn.XLOOKUP(D4,D4:D23,E4:E23&gt;10000,"-")</f>
        <v>1</v>
      </c>
      <c r="O4" s="20"/>
      <c r="P4" s="20"/>
      <c r="Q4" s="20"/>
      <c r="R4" s="22">
        <f t="shared" ref="R4:R21" ca="1" si="4">DATEDIF(F4,$K$5,"Y")</f>
        <v>3</v>
      </c>
      <c r="S4" s="20">
        <f t="shared" ca="1" si="3"/>
        <v>1338</v>
      </c>
    </row>
    <row r="5" spans="1:19" ht="60" customHeight="1" x14ac:dyDescent="0.35">
      <c r="A5" s="17">
        <v>2004</v>
      </c>
      <c r="B5" s="17" t="s">
        <v>15</v>
      </c>
      <c r="C5" s="17" t="s">
        <v>18</v>
      </c>
      <c r="D5" s="17" t="s">
        <v>63</v>
      </c>
      <c r="E5" s="17">
        <v>5264</v>
      </c>
      <c r="F5" s="18">
        <v>44972</v>
      </c>
      <c r="G5" s="19" t="str">
        <f t="shared" si="0"/>
        <v>20%</v>
      </c>
      <c r="H5" s="19" t="str">
        <f t="shared" si="1"/>
        <v>eligible</v>
      </c>
      <c r="I5" s="23"/>
      <c r="J5" s="23"/>
      <c r="K5" s="22">
        <f ca="1">TODAY()</f>
        <v>46295</v>
      </c>
      <c r="L5" s="23"/>
      <c r="M5" s="20">
        <f t="shared" si="2"/>
        <v>5264</v>
      </c>
      <c r="N5" s="20" t="b" cm="1">
        <f t="array" ref="N5">_xlfn.XLOOKUP(D5,D5:D24,E5:E24&gt;10000,"-")</f>
        <v>0</v>
      </c>
      <c r="O5" s="20"/>
      <c r="P5" s="20"/>
      <c r="Q5" s="20"/>
      <c r="R5" s="22">
        <f t="shared" ca="1" si="4"/>
        <v>3</v>
      </c>
      <c r="S5" s="20">
        <f t="shared" ca="1" si="3"/>
        <v>1323</v>
      </c>
    </row>
    <row r="6" spans="1:19" ht="60" customHeight="1" x14ac:dyDescent="0.35">
      <c r="A6" s="17">
        <v>2005</v>
      </c>
      <c r="B6" s="17" t="s">
        <v>13</v>
      </c>
      <c r="C6" s="17" t="s">
        <v>19</v>
      </c>
      <c r="D6" s="17" t="s">
        <v>64</v>
      </c>
      <c r="E6" s="17">
        <v>43388</v>
      </c>
      <c r="F6" s="18">
        <v>44987</v>
      </c>
      <c r="G6" s="19" t="str">
        <f t="shared" si="0"/>
        <v>15%</v>
      </c>
      <c r="H6" s="19" t="str">
        <f t="shared" si="1"/>
        <v>eligible</v>
      </c>
      <c r="I6" s="23"/>
      <c r="J6" s="23"/>
      <c r="K6" s="23"/>
      <c r="L6" s="23"/>
      <c r="M6" s="20">
        <f t="shared" si="2"/>
        <v>43388</v>
      </c>
      <c r="N6" s="20" t="b" cm="1">
        <f t="array" ref="N6">_xlfn.XLOOKUP(D6,D6:D25,E6:E25&gt;10000,"-")</f>
        <v>1</v>
      </c>
      <c r="O6" s="20"/>
      <c r="P6" s="20"/>
      <c r="Q6" s="20"/>
      <c r="R6" s="22">
        <f t="shared" ca="1" si="4"/>
        <v>3</v>
      </c>
      <c r="S6" s="20">
        <f t="shared" ca="1" si="3"/>
        <v>1308</v>
      </c>
    </row>
    <row r="7" spans="1:19" ht="60" customHeight="1" x14ac:dyDescent="0.35">
      <c r="A7" s="17">
        <v>2006</v>
      </c>
      <c r="B7" s="17" t="s">
        <v>17</v>
      </c>
      <c r="C7" s="17" t="s">
        <v>19</v>
      </c>
      <c r="D7" s="17" t="s">
        <v>65</v>
      </c>
      <c r="E7" s="17">
        <v>19757</v>
      </c>
      <c r="F7" s="18">
        <v>45002</v>
      </c>
      <c r="G7" s="19" t="str">
        <f t="shared" si="0"/>
        <v>20%</v>
      </c>
      <c r="H7" s="19" t="str">
        <f t="shared" si="1"/>
        <v>eligible</v>
      </c>
      <c r="I7" s="23"/>
      <c r="J7" s="23"/>
      <c r="K7" s="23"/>
      <c r="L7" s="23"/>
      <c r="M7" s="20">
        <f t="shared" si="2"/>
        <v>19757</v>
      </c>
      <c r="N7" s="20" t="b" cm="1">
        <f t="array" ref="N7">_xlfn.XLOOKUP(D7,D7:D26,E7:E26&gt;10000,"-")</f>
        <v>1</v>
      </c>
      <c r="O7" s="20"/>
      <c r="P7" s="20"/>
      <c r="Q7" s="20"/>
      <c r="R7" s="22">
        <f t="shared" ca="1" si="4"/>
        <v>3</v>
      </c>
      <c r="S7" s="20">
        <f t="shared" ca="1" si="3"/>
        <v>1293</v>
      </c>
    </row>
    <row r="8" spans="1:19" ht="60" customHeight="1" x14ac:dyDescent="0.35">
      <c r="A8" s="17">
        <v>2007</v>
      </c>
      <c r="B8" s="17" t="s">
        <v>17</v>
      </c>
      <c r="C8" s="17" t="s">
        <v>18</v>
      </c>
      <c r="D8" s="17" t="s">
        <v>66</v>
      </c>
      <c r="E8" s="17">
        <v>32058</v>
      </c>
      <c r="F8" s="18">
        <v>45017</v>
      </c>
      <c r="G8" s="19" t="str">
        <f t="shared" si="0"/>
        <v>20%</v>
      </c>
      <c r="H8" s="19" t="str">
        <f t="shared" si="1"/>
        <v>eligible</v>
      </c>
      <c r="I8" s="23"/>
      <c r="J8" s="23"/>
      <c r="K8" s="23"/>
      <c r="L8" s="23"/>
      <c r="M8" s="20">
        <f t="shared" si="2"/>
        <v>32058</v>
      </c>
      <c r="N8" s="20" t="b" cm="1">
        <f t="array" ref="N8">_xlfn.XLOOKUP(D8,D8:D27,E8:E27&gt;10000,"-")</f>
        <v>1</v>
      </c>
      <c r="O8" s="20"/>
      <c r="P8" s="20"/>
      <c r="Q8" s="20"/>
      <c r="R8" s="22">
        <f t="shared" ca="1" si="4"/>
        <v>3</v>
      </c>
      <c r="S8" s="20">
        <f t="shared" ca="1" si="3"/>
        <v>1278</v>
      </c>
    </row>
    <row r="9" spans="1:19" ht="60" customHeight="1" x14ac:dyDescent="0.35">
      <c r="A9" s="17">
        <v>2008</v>
      </c>
      <c r="B9" s="17" t="s">
        <v>13</v>
      </c>
      <c r="C9" s="17" t="s">
        <v>18</v>
      </c>
      <c r="D9" s="17" t="s">
        <v>67</v>
      </c>
      <c r="E9" s="17">
        <v>46429</v>
      </c>
      <c r="F9" s="18">
        <v>45032</v>
      </c>
      <c r="G9" s="19" t="str">
        <f t="shared" si="0"/>
        <v>25%</v>
      </c>
      <c r="H9" s="19" t="str">
        <f t="shared" si="1"/>
        <v>eligible</v>
      </c>
      <c r="I9" s="23"/>
      <c r="J9" s="23"/>
      <c r="K9" s="23"/>
      <c r="L9" s="23"/>
      <c r="M9" s="20">
        <f t="shared" si="2"/>
        <v>46429</v>
      </c>
      <c r="N9" s="20" t="b" cm="1">
        <f t="array" ref="N9">_xlfn.XLOOKUP(D9,D9:D28,E9:E28&gt;10000,"-")</f>
        <v>1</v>
      </c>
      <c r="O9" s="20"/>
      <c r="P9" s="20"/>
      <c r="Q9" s="20"/>
      <c r="R9" s="22">
        <f t="shared" ca="1" si="4"/>
        <v>3</v>
      </c>
      <c r="S9" s="20">
        <f t="shared" ca="1" si="3"/>
        <v>1263</v>
      </c>
    </row>
    <row r="10" spans="1:19" ht="60" customHeight="1" x14ac:dyDescent="0.35">
      <c r="A10" s="17">
        <v>2009</v>
      </c>
      <c r="B10" s="17" t="s">
        <v>15</v>
      </c>
      <c r="C10" s="17" t="s">
        <v>18</v>
      </c>
      <c r="D10" s="17" t="s">
        <v>68</v>
      </c>
      <c r="E10" s="17">
        <v>19746</v>
      </c>
      <c r="F10" s="18">
        <v>45047</v>
      </c>
      <c r="G10" s="19" t="str">
        <f t="shared" si="0"/>
        <v>20%</v>
      </c>
      <c r="H10" s="19" t="str">
        <f t="shared" si="1"/>
        <v>eligible</v>
      </c>
      <c r="I10" s="23"/>
      <c r="J10" s="23"/>
      <c r="K10" s="23"/>
      <c r="L10" s="23"/>
      <c r="M10" s="20">
        <f t="shared" si="2"/>
        <v>19746</v>
      </c>
      <c r="N10" s="20" t="b" cm="1">
        <f t="array" ref="N10">_xlfn.XLOOKUP(D10,D10:D29,E10:E29&gt;10000,"-")</f>
        <v>1</v>
      </c>
      <c r="O10" s="20"/>
      <c r="P10" s="20"/>
      <c r="Q10" s="20"/>
      <c r="R10" s="22">
        <f t="shared" ca="1" si="4"/>
        <v>3</v>
      </c>
      <c r="S10" s="20">
        <f t="shared" ca="1" si="3"/>
        <v>1248</v>
      </c>
    </row>
    <row r="11" spans="1:19" ht="60" customHeight="1" x14ac:dyDescent="0.35">
      <c r="A11" s="17">
        <v>2010</v>
      </c>
      <c r="B11" s="17" t="s">
        <v>13</v>
      </c>
      <c r="C11" s="17" t="s">
        <v>14</v>
      </c>
      <c r="D11" s="17" t="s">
        <v>69</v>
      </c>
      <c r="E11" s="17">
        <v>35185</v>
      </c>
      <c r="F11" s="18">
        <v>45062</v>
      </c>
      <c r="G11" s="19" t="str">
        <f t="shared" si="0"/>
        <v>15%</v>
      </c>
      <c r="H11" s="19" t="str">
        <f t="shared" si="1"/>
        <v>eligible</v>
      </c>
      <c r="I11" s="23"/>
      <c r="J11" s="23"/>
      <c r="K11" s="23"/>
      <c r="L11" s="23"/>
      <c r="M11" s="20">
        <f t="shared" si="2"/>
        <v>35185</v>
      </c>
      <c r="N11" s="20" t="b" cm="1">
        <f t="array" ref="N11">_xlfn.XLOOKUP(D11,D11:D30,E11:E30&gt;10000,"-")</f>
        <v>1</v>
      </c>
      <c r="O11" s="20"/>
      <c r="P11" s="20"/>
      <c r="Q11" s="20"/>
      <c r="R11" s="22">
        <f t="shared" ca="1" si="4"/>
        <v>3</v>
      </c>
      <c r="S11" s="20">
        <f t="shared" ca="1" si="3"/>
        <v>1233</v>
      </c>
    </row>
    <row r="12" spans="1:19" ht="60" customHeight="1" x14ac:dyDescent="0.35">
      <c r="A12" s="17">
        <v>2011</v>
      </c>
      <c r="B12" s="17" t="s">
        <v>13</v>
      </c>
      <c r="C12" s="17" t="s">
        <v>18</v>
      </c>
      <c r="D12" s="17" t="s">
        <v>70</v>
      </c>
      <c r="E12" s="17">
        <v>33920</v>
      </c>
      <c r="F12" s="18">
        <v>45077</v>
      </c>
      <c r="G12" s="19" t="str">
        <f t="shared" si="0"/>
        <v>20%</v>
      </c>
      <c r="H12" s="19" t="str">
        <f t="shared" si="1"/>
        <v>eligible</v>
      </c>
      <c r="I12" s="23"/>
      <c r="J12" s="23"/>
      <c r="K12" s="23"/>
      <c r="L12" s="23"/>
      <c r="M12" s="20">
        <f t="shared" si="2"/>
        <v>33920</v>
      </c>
      <c r="N12" s="20" t="b" cm="1">
        <f t="array" ref="N12">_xlfn.XLOOKUP(D12,D12:D31,E12:E31&gt;10000,"-")</f>
        <v>1</v>
      </c>
      <c r="O12" s="20"/>
      <c r="P12" s="20"/>
      <c r="Q12" s="20"/>
      <c r="R12" s="22">
        <f t="shared" ca="1" si="4"/>
        <v>3</v>
      </c>
      <c r="S12" s="20">
        <f t="shared" ca="1" si="3"/>
        <v>1218</v>
      </c>
    </row>
    <row r="13" spans="1:19" ht="60" customHeight="1" x14ac:dyDescent="0.35">
      <c r="A13" s="17">
        <v>2012</v>
      </c>
      <c r="B13" s="17" t="s">
        <v>20</v>
      </c>
      <c r="C13" s="17" t="s">
        <v>19</v>
      </c>
      <c r="D13" s="17" t="s">
        <v>72</v>
      </c>
      <c r="E13" s="17">
        <v>35611</v>
      </c>
      <c r="F13" s="18">
        <v>45092</v>
      </c>
      <c r="G13" s="19" t="str">
        <f t="shared" si="0"/>
        <v>15%</v>
      </c>
      <c r="H13" s="19" t="str">
        <f t="shared" si="1"/>
        <v>eligible</v>
      </c>
      <c r="I13" s="23"/>
      <c r="J13" s="23"/>
      <c r="K13" s="23"/>
      <c r="L13" s="23"/>
      <c r="M13" s="20">
        <f t="shared" si="2"/>
        <v>35611</v>
      </c>
      <c r="N13" s="20" t="b" cm="1">
        <f t="array" ref="N13">_xlfn.XLOOKUP(D13,D13:D32,E13:E32&gt;10000,"-")</f>
        <v>1</v>
      </c>
      <c r="O13" s="20"/>
      <c r="P13" s="20"/>
      <c r="Q13" s="20"/>
      <c r="R13" s="22">
        <f t="shared" ca="1" si="4"/>
        <v>3</v>
      </c>
      <c r="S13" s="20">
        <f t="shared" ca="1" si="3"/>
        <v>1203</v>
      </c>
    </row>
    <row r="14" spans="1:19" ht="60" customHeight="1" x14ac:dyDescent="0.35">
      <c r="A14" s="17">
        <v>2013</v>
      </c>
      <c r="B14" s="17" t="s">
        <v>21</v>
      </c>
      <c r="C14" s="17" t="s">
        <v>18</v>
      </c>
      <c r="D14" s="17" t="s">
        <v>71</v>
      </c>
      <c r="E14" s="17">
        <v>15560</v>
      </c>
      <c r="F14" s="18">
        <v>45107</v>
      </c>
      <c r="G14" s="19" t="str">
        <f t="shared" si="0"/>
        <v>20%</v>
      </c>
      <c r="H14" s="19" t="str">
        <f t="shared" si="1"/>
        <v>eligible</v>
      </c>
      <c r="I14" s="23"/>
      <c r="J14" s="23"/>
      <c r="K14" s="23"/>
      <c r="L14" s="23"/>
      <c r="M14" s="20">
        <f t="shared" si="2"/>
        <v>15560</v>
      </c>
      <c r="N14" s="20" t="b" cm="1">
        <f t="array" ref="N14">_xlfn.XLOOKUP(D14,D14:D33,E14:E33&gt;10000,"-")</f>
        <v>1</v>
      </c>
      <c r="O14" s="20"/>
      <c r="P14" s="20"/>
      <c r="Q14" s="20"/>
      <c r="R14" s="22">
        <f t="shared" ca="1" si="4"/>
        <v>3</v>
      </c>
      <c r="S14" s="20">
        <f t="shared" ca="1" si="3"/>
        <v>1188</v>
      </c>
    </row>
    <row r="15" spans="1:19" ht="60" customHeight="1" x14ac:dyDescent="0.35">
      <c r="A15" s="17">
        <v>2014</v>
      </c>
      <c r="B15" s="17" t="s">
        <v>21</v>
      </c>
      <c r="C15" s="17" t="s">
        <v>14</v>
      </c>
      <c r="D15" s="17" t="s">
        <v>73</v>
      </c>
      <c r="E15" s="17">
        <v>7283</v>
      </c>
      <c r="F15" s="18">
        <v>45122</v>
      </c>
      <c r="G15" s="19" t="str">
        <f t="shared" si="0"/>
        <v>20%</v>
      </c>
      <c r="H15" s="19" t="str">
        <f t="shared" si="1"/>
        <v>eligible</v>
      </c>
      <c r="I15" s="23"/>
      <c r="J15" s="23"/>
      <c r="K15" s="23"/>
      <c r="L15" s="23"/>
      <c r="M15" s="20">
        <f t="shared" si="2"/>
        <v>7283</v>
      </c>
      <c r="N15" s="20" t="b" cm="1">
        <f t="array" ref="N15">_xlfn.XLOOKUP(D15,D15:D34,E15:E34&gt;10000,"-")</f>
        <v>0</v>
      </c>
      <c r="O15" s="20"/>
      <c r="P15" s="20"/>
      <c r="Q15" s="20"/>
      <c r="R15" s="22">
        <f t="shared" ca="1" si="4"/>
        <v>3</v>
      </c>
      <c r="S15" s="20">
        <f t="shared" ca="1" si="3"/>
        <v>1173</v>
      </c>
    </row>
    <row r="16" spans="1:19" ht="60" customHeight="1" x14ac:dyDescent="0.35">
      <c r="A16" s="17">
        <v>2015</v>
      </c>
      <c r="B16" s="17" t="s">
        <v>21</v>
      </c>
      <c r="C16" s="17" t="s">
        <v>18</v>
      </c>
      <c r="D16" s="17" t="s">
        <v>74</v>
      </c>
      <c r="E16" s="17">
        <v>15678</v>
      </c>
      <c r="F16" s="18">
        <v>45137</v>
      </c>
      <c r="G16" s="19" t="str">
        <f t="shared" si="0"/>
        <v>20%</v>
      </c>
      <c r="H16" s="19" t="str">
        <f t="shared" si="1"/>
        <v>eligible</v>
      </c>
      <c r="I16" s="23"/>
      <c r="J16" s="23"/>
      <c r="K16" s="23"/>
      <c r="L16" s="23"/>
      <c r="M16" s="20">
        <f t="shared" si="2"/>
        <v>15678</v>
      </c>
      <c r="N16" s="20" t="b" cm="1">
        <f t="array" ref="N16">_xlfn.XLOOKUP(D16,D16:D35,E16:E35&gt;10000,"-")</f>
        <v>1</v>
      </c>
      <c r="O16" s="20"/>
      <c r="P16" s="20"/>
      <c r="Q16" s="20"/>
      <c r="R16" s="22">
        <f t="shared" ca="1" si="4"/>
        <v>3</v>
      </c>
      <c r="S16" s="20">
        <f t="shared" ca="1" si="3"/>
        <v>1158</v>
      </c>
    </row>
    <row r="17" spans="1:19" ht="60" customHeight="1" x14ac:dyDescent="0.35">
      <c r="A17" s="17">
        <v>2016</v>
      </c>
      <c r="B17" s="17" t="s">
        <v>17</v>
      </c>
      <c r="C17" s="17" t="s">
        <v>18</v>
      </c>
      <c r="D17" s="17" t="s">
        <v>75</v>
      </c>
      <c r="E17" s="17">
        <v>5277</v>
      </c>
      <c r="F17" s="18">
        <v>45152</v>
      </c>
      <c r="G17" s="19" t="str">
        <f t="shared" si="0"/>
        <v>20%</v>
      </c>
      <c r="H17" s="19" t="str">
        <f t="shared" si="1"/>
        <v>eligible</v>
      </c>
      <c r="I17" s="23"/>
      <c r="J17" s="23"/>
      <c r="K17" s="23"/>
      <c r="L17" s="23"/>
      <c r="M17" s="20">
        <f t="shared" si="2"/>
        <v>5277</v>
      </c>
      <c r="N17" s="20" t="b" cm="1">
        <f t="array" ref="N17">_xlfn.XLOOKUP(D17,D17:D36,E17:E36&gt;10000,"-")</f>
        <v>0</v>
      </c>
      <c r="O17" s="20"/>
      <c r="P17" s="20"/>
      <c r="Q17" s="20"/>
      <c r="R17" s="22">
        <f t="shared" ca="1" si="4"/>
        <v>3</v>
      </c>
      <c r="S17" s="20">
        <f t="shared" ca="1" si="3"/>
        <v>1143</v>
      </c>
    </row>
    <row r="18" spans="1:19" ht="60" customHeight="1" x14ac:dyDescent="0.35">
      <c r="A18" s="17">
        <v>2017</v>
      </c>
      <c r="B18" s="17" t="s">
        <v>20</v>
      </c>
      <c r="C18" s="17" t="s">
        <v>19</v>
      </c>
      <c r="D18" s="17" t="s">
        <v>60</v>
      </c>
      <c r="E18" s="17">
        <v>41871</v>
      </c>
      <c r="F18" s="18">
        <v>45167</v>
      </c>
      <c r="G18" s="19" t="str">
        <f t="shared" si="0"/>
        <v>15%</v>
      </c>
      <c r="H18" s="19" t="str">
        <f t="shared" si="1"/>
        <v>eligible</v>
      </c>
      <c r="I18" s="23"/>
      <c r="J18" s="23"/>
      <c r="K18" s="23"/>
      <c r="L18" s="23"/>
      <c r="M18" s="20">
        <f t="shared" si="2"/>
        <v>41871</v>
      </c>
      <c r="N18" s="20" t="b" cm="1">
        <f t="array" ref="N18">_xlfn.XLOOKUP(D18,D18:D37,E18:E37&gt;10000,"-")</f>
        <v>1</v>
      </c>
      <c r="O18" s="20"/>
      <c r="P18" s="20"/>
      <c r="Q18" s="20"/>
      <c r="R18" s="22">
        <f t="shared" ca="1" si="4"/>
        <v>3</v>
      </c>
      <c r="S18" s="20">
        <f t="shared" ca="1" si="3"/>
        <v>1128</v>
      </c>
    </row>
    <row r="19" spans="1:19" ht="60" customHeight="1" x14ac:dyDescent="0.35">
      <c r="A19" s="17">
        <v>2018</v>
      </c>
      <c r="B19" s="17" t="s">
        <v>20</v>
      </c>
      <c r="C19" s="17" t="s">
        <v>16</v>
      </c>
      <c r="D19" s="17" t="s">
        <v>76</v>
      </c>
      <c r="E19" s="17">
        <v>38161</v>
      </c>
      <c r="F19" s="18">
        <v>45182</v>
      </c>
      <c r="G19" s="19" t="str">
        <f t="shared" si="0"/>
        <v>15%</v>
      </c>
      <c r="H19" s="19" t="str">
        <f t="shared" si="1"/>
        <v>eligible</v>
      </c>
      <c r="I19" s="23"/>
      <c r="J19" s="23"/>
      <c r="K19" s="23"/>
      <c r="L19" s="23"/>
      <c r="M19" s="20">
        <f t="shared" si="2"/>
        <v>38161</v>
      </c>
      <c r="N19" s="20" t="b" cm="1">
        <f t="array" ref="N19">_xlfn.XLOOKUP(D19,D19:D38,E19:E38&gt;10000,"-")</f>
        <v>1</v>
      </c>
      <c r="O19" s="20"/>
      <c r="P19" s="20"/>
      <c r="Q19" s="20"/>
      <c r="R19" s="22">
        <f t="shared" ca="1" si="4"/>
        <v>3</v>
      </c>
      <c r="S19" s="20">
        <f t="shared" ca="1" si="3"/>
        <v>1113</v>
      </c>
    </row>
    <row r="20" spans="1:19" ht="60" customHeight="1" x14ac:dyDescent="0.35">
      <c r="A20" s="17">
        <v>2019</v>
      </c>
      <c r="B20" s="17" t="s">
        <v>17</v>
      </c>
      <c r="C20" s="17" t="s">
        <v>16</v>
      </c>
      <c r="D20" s="17" t="s">
        <v>77</v>
      </c>
      <c r="E20" s="17">
        <v>30436</v>
      </c>
      <c r="F20" s="18">
        <v>45197</v>
      </c>
      <c r="G20" s="19" t="str">
        <f t="shared" si="0"/>
        <v>20%</v>
      </c>
      <c r="H20" s="19" t="str">
        <f t="shared" si="1"/>
        <v>eligible</v>
      </c>
      <c r="I20" s="23"/>
      <c r="J20" s="23"/>
      <c r="K20" s="23"/>
      <c r="L20" s="23"/>
      <c r="M20" s="20">
        <f t="shared" si="2"/>
        <v>30436</v>
      </c>
      <c r="N20" s="20" t="b" cm="1">
        <f t="array" ref="N20">_xlfn.XLOOKUP(D20,D20:D39,E20:E39&gt;10000,"-")</f>
        <v>1</v>
      </c>
      <c r="O20" s="20"/>
      <c r="P20" s="20"/>
      <c r="Q20" s="20"/>
      <c r="R20" s="22">
        <f t="shared" ca="1" si="4"/>
        <v>3</v>
      </c>
      <c r="S20" s="20">
        <f t="shared" ca="1" si="3"/>
        <v>1098</v>
      </c>
    </row>
    <row r="21" spans="1:19" ht="60" customHeight="1" x14ac:dyDescent="0.35">
      <c r="A21" s="17">
        <v>2020</v>
      </c>
      <c r="B21" s="17" t="s">
        <v>15</v>
      </c>
      <c r="C21" s="17" t="s">
        <v>16</v>
      </c>
      <c r="D21" s="17" t="s">
        <v>78</v>
      </c>
      <c r="E21" s="17">
        <v>33953</v>
      </c>
      <c r="F21" s="18">
        <v>45212</v>
      </c>
      <c r="G21" s="19" t="str">
        <f t="shared" si="0"/>
        <v>20%</v>
      </c>
      <c r="H21" s="19" t="str">
        <f t="shared" si="1"/>
        <v>eligible</v>
      </c>
      <c r="I21" s="23"/>
      <c r="J21" s="23"/>
      <c r="K21" s="23"/>
      <c r="L21" s="23"/>
      <c r="M21" s="20">
        <f t="shared" si="2"/>
        <v>33953</v>
      </c>
      <c r="N21" s="20" t="b" cm="1">
        <f t="array" ref="N21">_xlfn.XLOOKUP(D21,D21:D40,E21:E40&gt;10000,"-")</f>
        <v>1</v>
      </c>
      <c r="O21" s="20"/>
      <c r="P21" s="20"/>
      <c r="Q21" s="20"/>
      <c r="R21" s="22">
        <f t="shared" ca="1" si="4"/>
        <v>2</v>
      </c>
      <c r="S21" s="20">
        <f t="shared" ca="1" si="3"/>
        <v>1083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4EA3-CDBD-4F14-819F-81DE06342499}">
  <dimension ref="A1:H21"/>
  <sheetViews>
    <sheetView zoomScale="60" zoomScaleNormal="60" workbookViewId="0">
      <selection activeCell="Q4" sqref="Q4"/>
    </sheetView>
  </sheetViews>
  <sheetFormatPr defaultRowHeight="14.4" x14ac:dyDescent="0.3"/>
  <cols>
    <col min="1" max="5" width="28.88671875" customWidth="1"/>
    <col min="6" max="6" width="14.109375" customWidth="1"/>
    <col min="7" max="7" width="16.88671875" customWidth="1"/>
    <col min="8" max="8" width="15.77734375" customWidth="1"/>
  </cols>
  <sheetData>
    <row r="1" spans="1:8" ht="32.4" customHeight="1" x14ac:dyDescent="0.3">
      <c r="A1" s="5" t="s">
        <v>22</v>
      </c>
      <c r="B1" s="5" t="s">
        <v>1</v>
      </c>
      <c r="C1" s="5" t="s">
        <v>23</v>
      </c>
      <c r="D1" s="5" t="s">
        <v>24</v>
      </c>
      <c r="E1" s="5" t="s">
        <v>25</v>
      </c>
      <c r="F1" s="5" t="s">
        <v>90</v>
      </c>
      <c r="G1" s="5" t="s">
        <v>91</v>
      </c>
      <c r="H1" s="5" t="s">
        <v>92</v>
      </c>
    </row>
    <row r="2" spans="1:8" ht="30.6" customHeight="1" x14ac:dyDescent="0.3">
      <c r="A2" s="9">
        <v>3001</v>
      </c>
      <c r="B2" s="9" t="s">
        <v>26</v>
      </c>
      <c r="C2" s="9" t="s">
        <v>27</v>
      </c>
      <c r="D2" s="9">
        <v>86766</v>
      </c>
      <c r="E2" s="10">
        <v>42005</v>
      </c>
      <c r="F2" s="6">
        <f>ROUND(D2,2)</f>
        <v>86766</v>
      </c>
      <c r="G2" s="6">
        <f>CEILING(D2,2)</f>
        <v>86766</v>
      </c>
      <c r="H2" s="6">
        <f>FLOOR(D2,5)</f>
        <v>86765</v>
      </c>
    </row>
    <row r="3" spans="1:8" ht="30.6" customHeight="1" x14ac:dyDescent="0.3">
      <c r="A3" s="9">
        <v>3002</v>
      </c>
      <c r="B3" s="9" t="s">
        <v>28</v>
      </c>
      <c r="C3" s="9" t="s">
        <v>27</v>
      </c>
      <c r="D3" s="9">
        <v>31943</v>
      </c>
      <c r="E3" s="10">
        <v>42255</v>
      </c>
      <c r="F3" s="6">
        <f t="shared" ref="F3:F21" si="0">ROUND(D3,2)</f>
        <v>31943</v>
      </c>
      <c r="G3" s="6">
        <f t="shared" ref="G3:G21" si="1">CEILING(D3,2)</f>
        <v>31944</v>
      </c>
      <c r="H3" s="6">
        <f t="shared" ref="H3:H21" si="2">FLOOR(D3,5)</f>
        <v>31940</v>
      </c>
    </row>
    <row r="4" spans="1:8" ht="30.6" customHeight="1" x14ac:dyDescent="0.3">
      <c r="A4" s="9">
        <v>3003</v>
      </c>
      <c r="B4" s="9" t="s">
        <v>29</v>
      </c>
      <c r="C4" s="9" t="s">
        <v>30</v>
      </c>
      <c r="D4" s="9">
        <v>63374</v>
      </c>
      <c r="E4" s="10">
        <v>42505</v>
      </c>
      <c r="F4" s="6">
        <f t="shared" si="0"/>
        <v>63374</v>
      </c>
      <c r="G4" s="6">
        <f t="shared" si="1"/>
        <v>63374</v>
      </c>
      <c r="H4" s="6">
        <f t="shared" si="2"/>
        <v>63370</v>
      </c>
    </row>
    <row r="5" spans="1:8" ht="30.6" customHeight="1" x14ac:dyDescent="0.3">
      <c r="A5" s="9">
        <v>3004</v>
      </c>
      <c r="B5" s="9" t="s">
        <v>31</v>
      </c>
      <c r="C5" s="9" t="s">
        <v>27</v>
      </c>
      <c r="D5" s="9">
        <v>109972</v>
      </c>
      <c r="E5" s="10">
        <v>42755</v>
      </c>
      <c r="F5" s="6">
        <f t="shared" si="0"/>
        <v>109972</v>
      </c>
      <c r="G5" s="6">
        <f t="shared" si="1"/>
        <v>109972</v>
      </c>
      <c r="H5" s="6">
        <f t="shared" si="2"/>
        <v>109970</v>
      </c>
    </row>
    <row r="6" spans="1:8" ht="30.6" customHeight="1" x14ac:dyDescent="0.3">
      <c r="A6" s="9">
        <v>3005</v>
      </c>
      <c r="B6" s="9" t="s">
        <v>32</v>
      </c>
      <c r="C6" s="9" t="s">
        <v>33</v>
      </c>
      <c r="D6" s="9">
        <v>54149</v>
      </c>
      <c r="E6" s="10">
        <v>43005</v>
      </c>
      <c r="F6" s="6">
        <f t="shared" si="0"/>
        <v>54149</v>
      </c>
      <c r="G6" s="6">
        <f t="shared" si="1"/>
        <v>54150</v>
      </c>
      <c r="H6" s="6">
        <f t="shared" si="2"/>
        <v>54145</v>
      </c>
    </row>
    <row r="7" spans="1:8" ht="30.6" customHeight="1" x14ac:dyDescent="0.3">
      <c r="A7" s="9">
        <v>3006</v>
      </c>
      <c r="B7" s="9" t="s">
        <v>34</v>
      </c>
      <c r="C7" s="9" t="s">
        <v>33</v>
      </c>
      <c r="D7" s="9">
        <v>78689</v>
      </c>
      <c r="E7" s="10">
        <v>43255</v>
      </c>
      <c r="F7" s="6">
        <f t="shared" si="0"/>
        <v>78689</v>
      </c>
      <c r="G7" s="6">
        <f t="shared" si="1"/>
        <v>78690</v>
      </c>
      <c r="H7" s="6">
        <f t="shared" si="2"/>
        <v>78685</v>
      </c>
    </row>
    <row r="8" spans="1:8" ht="30.6" customHeight="1" x14ac:dyDescent="0.3">
      <c r="A8" s="9">
        <v>3007</v>
      </c>
      <c r="B8" s="9" t="s">
        <v>35</v>
      </c>
      <c r="C8" s="9" t="s">
        <v>36</v>
      </c>
      <c r="D8" s="9">
        <v>35960</v>
      </c>
      <c r="E8" s="10">
        <v>43505</v>
      </c>
      <c r="F8" s="6">
        <f t="shared" si="0"/>
        <v>35960</v>
      </c>
      <c r="G8" s="6">
        <f t="shared" si="1"/>
        <v>35960</v>
      </c>
      <c r="H8" s="6">
        <f t="shared" si="2"/>
        <v>35960</v>
      </c>
    </row>
    <row r="9" spans="1:8" ht="30.6" customHeight="1" x14ac:dyDescent="0.3">
      <c r="A9" s="9">
        <v>3008</v>
      </c>
      <c r="B9" s="9" t="s">
        <v>37</v>
      </c>
      <c r="C9" s="9" t="s">
        <v>33</v>
      </c>
      <c r="D9" s="9">
        <v>91659</v>
      </c>
      <c r="E9" s="10">
        <v>43755</v>
      </c>
      <c r="F9" s="6">
        <f t="shared" si="0"/>
        <v>91659</v>
      </c>
      <c r="G9" s="6">
        <f t="shared" si="1"/>
        <v>91660</v>
      </c>
      <c r="H9" s="6">
        <f t="shared" si="2"/>
        <v>91655</v>
      </c>
    </row>
    <row r="10" spans="1:8" ht="30.6" customHeight="1" x14ac:dyDescent="0.3">
      <c r="A10" s="9">
        <v>3009</v>
      </c>
      <c r="B10" s="9" t="s">
        <v>38</v>
      </c>
      <c r="C10" s="9" t="s">
        <v>33</v>
      </c>
      <c r="D10" s="9">
        <v>90423</v>
      </c>
      <c r="E10" s="10">
        <v>44005</v>
      </c>
      <c r="F10" s="6">
        <f t="shared" si="0"/>
        <v>90423</v>
      </c>
      <c r="G10" s="6">
        <f t="shared" si="1"/>
        <v>90424</v>
      </c>
      <c r="H10" s="6">
        <f t="shared" si="2"/>
        <v>90420</v>
      </c>
    </row>
    <row r="11" spans="1:8" ht="30.6" customHeight="1" x14ac:dyDescent="0.3">
      <c r="A11" s="9">
        <v>3010</v>
      </c>
      <c r="B11" s="9" t="s">
        <v>39</v>
      </c>
      <c r="C11" s="9" t="s">
        <v>30</v>
      </c>
      <c r="D11" s="9">
        <v>107877</v>
      </c>
      <c r="E11" s="10">
        <v>44255</v>
      </c>
      <c r="F11" s="6">
        <f t="shared" si="0"/>
        <v>107877</v>
      </c>
      <c r="G11" s="6">
        <f t="shared" si="1"/>
        <v>107878</v>
      </c>
      <c r="H11" s="6">
        <f t="shared" si="2"/>
        <v>107875</v>
      </c>
    </row>
    <row r="12" spans="1:8" ht="30.6" customHeight="1" x14ac:dyDescent="0.3">
      <c r="A12" s="9">
        <v>3011</v>
      </c>
      <c r="B12" s="9" t="s">
        <v>40</v>
      </c>
      <c r="C12" s="9" t="s">
        <v>27</v>
      </c>
      <c r="D12" s="9">
        <v>107634</v>
      </c>
      <c r="E12" s="10">
        <v>44505</v>
      </c>
      <c r="F12" s="6">
        <f t="shared" si="0"/>
        <v>107634</v>
      </c>
      <c r="G12" s="6">
        <f t="shared" si="1"/>
        <v>107634</v>
      </c>
      <c r="H12" s="6">
        <f t="shared" si="2"/>
        <v>107630</v>
      </c>
    </row>
    <row r="13" spans="1:8" ht="30.6" customHeight="1" x14ac:dyDescent="0.3">
      <c r="A13" s="9">
        <v>3012</v>
      </c>
      <c r="B13" s="9" t="s">
        <v>41</v>
      </c>
      <c r="C13" s="9" t="s">
        <v>27</v>
      </c>
      <c r="D13" s="9">
        <v>35226</v>
      </c>
      <c r="E13" s="10">
        <v>44755</v>
      </c>
      <c r="F13" s="6">
        <f t="shared" si="0"/>
        <v>35226</v>
      </c>
      <c r="G13" s="6">
        <f t="shared" si="1"/>
        <v>35226</v>
      </c>
      <c r="H13" s="6">
        <f t="shared" si="2"/>
        <v>35225</v>
      </c>
    </row>
    <row r="14" spans="1:8" ht="30.6" customHeight="1" x14ac:dyDescent="0.3">
      <c r="A14" s="9">
        <v>3013</v>
      </c>
      <c r="B14" s="9" t="s">
        <v>42</v>
      </c>
      <c r="C14" s="9" t="s">
        <v>30</v>
      </c>
      <c r="D14" s="9">
        <v>40872</v>
      </c>
      <c r="E14" s="10">
        <v>45005</v>
      </c>
      <c r="F14" s="6">
        <f t="shared" si="0"/>
        <v>40872</v>
      </c>
      <c r="G14" s="6">
        <f t="shared" si="1"/>
        <v>40872</v>
      </c>
      <c r="H14" s="6">
        <f t="shared" si="2"/>
        <v>40870</v>
      </c>
    </row>
    <row r="15" spans="1:8" ht="30.6" customHeight="1" x14ac:dyDescent="0.3">
      <c r="A15" s="9">
        <v>3014</v>
      </c>
      <c r="B15" s="9" t="s">
        <v>43</v>
      </c>
      <c r="C15" s="9" t="s">
        <v>30</v>
      </c>
      <c r="D15" s="9">
        <v>55378</v>
      </c>
      <c r="E15" s="10">
        <v>45255</v>
      </c>
      <c r="F15" s="6">
        <f t="shared" si="0"/>
        <v>55378</v>
      </c>
      <c r="G15" s="6">
        <f t="shared" si="1"/>
        <v>55378</v>
      </c>
      <c r="H15" s="6">
        <f t="shared" si="2"/>
        <v>55375</v>
      </c>
    </row>
    <row r="16" spans="1:8" ht="30.6" customHeight="1" x14ac:dyDescent="0.3">
      <c r="A16" s="9">
        <v>3015</v>
      </c>
      <c r="B16" s="9" t="s">
        <v>44</v>
      </c>
      <c r="C16" s="9" t="s">
        <v>30</v>
      </c>
      <c r="D16" s="9">
        <v>63297</v>
      </c>
      <c r="E16" s="10">
        <v>45505</v>
      </c>
      <c r="F16" s="6">
        <f t="shared" si="0"/>
        <v>63297</v>
      </c>
      <c r="G16" s="6">
        <f t="shared" si="1"/>
        <v>63298</v>
      </c>
      <c r="H16" s="6">
        <f t="shared" si="2"/>
        <v>63295</v>
      </c>
    </row>
    <row r="17" spans="1:8" ht="30.6" customHeight="1" x14ac:dyDescent="0.3">
      <c r="A17" s="9">
        <v>3016</v>
      </c>
      <c r="B17" s="9" t="s">
        <v>45</v>
      </c>
      <c r="C17" s="9" t="s">
        <v>27</v>
      </c>
      <c r="D17" s="9">
        <v>114173</v>
      </c>
      <c r="E17" s="10">
        <v>45755</v>
      </c>
      <c r="F17" s="6">
        <f t="shared" si="0"/>
        <v>114173</v>
      </c>
      <c r="G17" s="6">
        <f t="shared" si="1"/>
        <v>114174</v>
      </c>
      <c r="H17" s="6">
        <f t="shared" si="2"/>
        <v>114170</v>
      </c>
    </row>
    <row r="18" spans="1:8" ht="30.6" customHeight="1" x14ac:dyDescent="0.3">
      <c r="A18" s="9">
        <v>3017</v>
      </c>
      <c r="B18" s="9" t="s">
        <v>46</v>
      </c>
      <c r="C18" s="9" t="s">
        <v>30</v>
      </c>
      <c r="D18" s="9">
        <v>86915</v>
      </c>
      <c r="E18" s="10">
        <v>46005</v>
      </c>
      <c r="F18" s="6">
        <f t="shared" si="0"/>
        <v>86915</v>
      </c>
      <c r="G18" s="6">
        <f t="shared" si="1"/>
        <v>86916</v>
      </c>
      <c r="H18" s="6">
        <f t="shared" si="2"/>
        <v>86915</v>
      </c>
    </row>
    <row r="19" spans="1:8" ht="30.6" customHeight="1" x14ac:dyDescent="0.3">
      <c r="A19" s="9">
        <v>3018</v>
      </c>
      <c r="B19" s="9" t="s">
        <v>47</v>
      </c>
      <c r="C19" s="9" t="s">
        <v>33</v>
      </c>
      <c r="D19" s="9">
        <v>116284</v>
      </c>
      <c r="E19" s="10">
        <v>46255</v>
      </c>
      <c r="F19" s="6">
        <f t="shared" si="0"/>
        <v>116284</v>
      </c>
      <c r="G19" s="6">
        <f t="shared" si="1"/>
        <v>116284</v>
      </c>
      <c r="H19" s="6">
        <f t="shared" si="2"/>
        <v>116280</v>
      </c>
    </row>
    <row r="20" spans="1:8" ht="30.6" customHeight="1" x14ac:dyDescent="0.3">
      <c r="A20" s="9">
        <v>3019</v>
      </c>
      <c r="B20" s="9" t="s">
        <v>48</v>
      </c>
      <c r="C20" s="9" t="s">
        <v>36</v>
      </c>
      <c r="D20" s="9">
        <v>116283</v>
      </c>
      <c r="E20" s="10">
        <v>46505</v>
      </c>
      <c r="F20" s="6">
        <f t="shared" si="0"/>
        <v>116283</v>
      </c>
      <c r="G20" s="6">
        <f t="shared" si="1"/>
        <v>116284</v>
      </c>
      <c r="H20" s="6">
        <f t="shared" si="2"/>
        <v>116280</v>
      </c>
    </row>
    <row r="21" spans="1:8" ht="30.6" customHeight="1" x14ac:dyDescent="0.3">
      <c r="A21" s="9">
        <v>3020</v>
      </c>
      <c r="B21" s="9" t="s">
        <v>49</v>
      </c>
      <c r="C21" s="9" t="s">
        <v>36</v>
      </c>
      <c r="D21" s="9">
        <v>99924</v>
      </c>
      <c r="E21" s="10">
        <v>46755</v>
      </c>
      <c r="F21" s="6">
        <f t="shared" si="0"/>
        <v>99924</v>
      </c>
      <c r="G21" s="6">
        <f t="shared" si="1"/>
        <v>99924</v>
      </c>
      <c r="H21" s="6">
        <f t="shared" si="2"/>
        <v>99920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Patel</dc:creator>
  <cp:lastModifiedBy>Niyati Patel</cp:lastModifiedBy>
  <dcterms:created xsi:type="dcterms:W3CDTF">2026-09-29T12:36:41Z</dcterms:created>
  <dcterms:modified xsi:type="dcterms:W3CDTF">2026-09-30T07:02:48Z</dcterms:modified>
</cp:coreProperties>
</file>